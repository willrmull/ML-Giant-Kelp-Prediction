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mullins/Library/Mobile Documents/com~apple~CloudDocs/Projects/Spring 2025/ML-Giant-Kelp-Predtiction/Datasets/"/>
    </mc:Choice>
  </mc:AlternateContent>
  <xr:revisionPtr revIDLastSave="0" documentId="8_{AE37F33E-B16F-6E4C-95A3-38A249F1532C}" xr6:coauthVersionLast="47" xr6:coauthVersionMax="47" xr10:uidLastSave="{00000000-0000-0000-0000-000000000000}"/>
  <bookViews>
    <workbookView xWindow="3840" yWindow="4680" windowWidth="25560" windowHeight="11900" xr2:uid="{F90F66A8-423F-6542-97B0-DF89C562D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</calcChain>
</file>

<file path=xl/sharedStrings.xml><?xml version="1.0" encoding="utf-8"?>
<sst xmlns="http://schemas.openxmlformats.org/spreadsheetml/2006/main" count="12" uniqueCount="12">
  <si>
    <t>Date</t>
  </si>
  <si>
    <t>2019 Q1</t>
  </si>
  <si>
    <t>2019 Q2</t>
  </si>
  <si>
    <t>2019 Q3</t>
  </si>
  <si>
    <t>2019 Q4</t>
  </si>
  <si>
    <t>ME</t>
  </si>
  <si>
    <t>MAE</t>
  </si>
  <si>
    <t>RMSE</t>
  </si>
  <si>
    <t>MASE</t>
  </si>
  <si>
    <t>Mean Forecasted Biomass</t>
  </si>
  <si>
    <t>Measured Biomass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</si>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</sst>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E3F45-7A96-8D4A-BAEC-13637EA1A65C}" name="Table1" displayName="Table1" ref="A2:H7" totalsRowShown="0" dataDxfId="1">
  <autoFilter ref="A2:H7" xr:uid="{CC4E3F45-7A96-8D4A-BAEC-13637EA1A65C}"/>
  <tableColumns count="8">
    <tableColumn id="1" xr3:uid="{6EE9B342-2A32-4343-9E10-BA8FD8942BFA}" name="Date"/>
    <tableColumn id="2" xr3:uid="{FF3BD69D-6F0C-3B49-A808-829E001212DB}" name="Mean Forecasted Biomass" dataDxfId="7"/>
    <tableColumn id="3" xr3:uid="{1318E420-9983-AC4C-B521-B44B080C4560}" name="Measured Biomass" dataDxfId="6"/>
    <tableColumn id="4" xr3:uid="{4F4B762E-EC4F-3C4C-A33C-857FB84BED36}" name="ME" dataDxfId="5"/>
    <tableColumn id="5" xr3:uid="{D8542F4D-BE54-D04F-85D1-35ABE41A830A}" name="MAE" dataDxfId="4"/>
    <tableColumn id="6" xr3:uid="{F8CDFA6A-A9A5-B24D-931B-26F11D8B6364}" name="RMSE" dataDxfId="3"/>
    <tableColumn id="7" xr3:uid="{019133E1-1AB3-4741-88DF-21C1E60D2F34}" name="MASE" dataDxfId="2"/>
    <tableColumn id="8" xr3:uid="{C1FCF79F-CB35-2744-9163-FD937F82B3E0}" name="MAP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939F-BD7F-9841-B1B7-9881C3456D85}">
  <dimension ref="A2:Q10"/>
  <sheetViews>
    <sheetView tabSelected="1" topLeftCell="A85" workbookViewId="0">
      <selection activeCell="I3" sqref="I3:I6"/>
    </sheetView>
  </sheetViews>
  <sheetFormatPr baseColWidth="10" defaultRowHeight="16" x14ac:dyDescent="0.2"/>
  <cols>
    <col min="2" max="2" width="25.1640625" customWidth="1"/>
    <col min="3" max="3" width="19.1640625" customWidth="1"/>
    <col min="4" max="4" width="13.83203125" bestFit="1" customWidth="1"/>
  </cols>
  <sheetData>
    <row r="2" spans="1:17" x14ac:dyDescent="0.2">
      <c r="A2" t="s">
        <v>0</v>
      </c>
      <c r="B2" t="s">
        <v>9</v>
      </c>
      <c r="C2" t="s">
        <v>10</v>
      </c>
      <c r="D2" t="s">
        <v>5</v>
      </c>
      <c r="E2" t="s">
        <v>6</v>
      </c>
      <c r="F2" t="s">
        <v>7</v>
      </c>
      <c r="G2" t="s">
        <v>8</v>
      </c>
      <c r="H2" t="s">
        <v>11</v>
      </c>
    </row>
    <row r="3" spans="1:17" x14ac:dyDescent="0.2">
      <c r="A3" t="s">
        <v>1</v>
      </c>
      <c r="B3" s="1">
        <v>686711.9</v>
      </c>
      <c r="C3" s="1">
        <v>1299592</v>
      </c>
      <c r="D3" s="1">
        <v>-426793.5</v>
      </c>
      <c r="E3" s="1">
        <v>549369.5</v>
      </c>
      <c r="F3" s="1">
        <v>581234</v>
      </c>
      <c r="G3" s="1">
        <v>8.8791469999999997E-2</v>
      </c>
      <c r="H3" s="1"/>
      <c r="I3">
        <f>(ABS(Table1[[#This Row],[Measured Biomass]]-Table1[[#This Row],[Mean Forecasted Biomass]])/Table1[[#This Row],[Measured Biomass]])*100</f>
        <v>47.15942388072564</v>
      </c>
    </row>
    <row r="4" spans="1:17" x14ac:dyDescent="0.2">
      <c r="A4" t="s">
        <v>2</v>
      </c>
      <c r="B4" s="1">
        <v>13077891.800000001</v>
      </c>
      <c r="C4" s="1">
        <v>13683112</v>
      </c>
      <c r="D4" s="1">
        <v>-10341269.4</v>
      </c>
      <c r="E4" s="1">
        <v>10462313.5</v>
      </c>
      <c r="F4" s="1">
        <v>11348568</v>
      </c>
      <c r="G4" s="1">
        <v>1.69415874</v>
      </c>
      <c r="H4" s="1"/>
      <c r="I4">
        <f>(ABS(Table1[[#This Row],[Measured Biomass]]-Table1[[#This Row],[Mean Forecasted Biomass]])/Table1[[#This Row],[Measured Biomass]])*100</f>
        <v>4.4231180743094063</v>
      </c>
    </row>
    <row r="5" spans="1:17" x14ac:dyDescent="0.2">
      <c r="A5" t="s">
        <v>3</v>
      </c>
      <c r="B5" s="1">
        <v>6199397</v>
      </c>
      <c r="C5" s="1">
        <v>10639476</v>
      </c>
      <c r="D5" s="1">
        <v>-4071501.8</v>
      </c>
      <c r="E5" s="1">
        <v>5712839</v>
      </c>
      <c r="F5" s="1">
        <v>5772316</v>
      </c>
      <c r="G5" s="1">
        <v>0.91179597000000001</v>
      </c>
      <c r="H5" s="1"/>
      <c r="I5">
        <f>(ABS(Table1[[#This Row],[Measured Biomass]]-Table1[[#This Row],[Mean Forecasted Biomass]])/Table1[[#This Row],[Measured Biomass]])*100</f>
        <v>41.732121017989982</v>
      </c>
    </row>
    <row r="6" spans="1:17" x14ac:dyDescent="0.2">
      <c r="A6" t="s">
        <v>4</v>
      </c>
      <c r="B6" s="1">
        <v>4173574</v>
      </c>
      <c r="C6" s="1">
        <v>489566</v>
      </c>
      <c r="D6" s="1">
        <v>-4075660.8</v>
      </c>
      <c r="E6" s="1">
        <v>4075660.8</v>
      </c>
      <c r="F6" s="1">
        <v>4079758</v>
      </c>
      <c r="G6" s="1">
        <v>0.65244208999999997</v>
      </c>
      <c r="H6" s="1"/>
      <c r="I6">
        <f>(ABS(Table1[[#This Row],[Measured Biomass]]-Table1[[#This Row],[Mean Forecasted Biomass]])/Table1[[#This Row],[Measured Biomass]])*100</f>
        <v>752.50487166183927</v>
      </c>
    </row>
    <row r="7" spans="1:17" x14ac:dyDescent="0.2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 x14ac:dyDescent="0.2"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Mullins</dc:creator>
  <cp:lastModifiedBy>William Mullins</cp:lastModifiedBy>
  <dcterms:created xsi:type="dcterms:W3CDTF">2025-05-11T06:31:19Z</dcterms:created>
  <dcterms:modified xsi:type="dcterms:W3CDTF">2025-05-16T21:28:17Z</dcterms:modified>
</cp:coreProperties>
</file>